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87a831719969bfb/Documents/"/>
    </mc:Choice>
  </mc:AlternateContent>
  <xr:revisionPtr revIDLastSave="207" documentId="8_{19285D42-842C-4F99-AC51-C2F935CC4627}" xr6:coauthVersionLast="47" xr6:coauthVersionMax="47" xr10:uidLastSave="{0DADF486-CBBA-4A29-829C-BD8D2227C77E}"/>
  <bookViews>
    <workbookView xWindow="-108" yWindow="-108" windowWidth="23256" windowHeight="12456" xr2:uid="{4B097361-1F20-474F-880F-C0D3669DAC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L2" i="1"/>
  <c r="G2" i="1"/>
  <c r="G3" i="1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R3" i="1"/>
  <c r="S3" i="1" s="1"/>
  <c r="R4" i="1"/>
  <c r="S4" i="1" s="1"/>
  <c r="R5" i="1"/>
  <c r="S5" i="1" s="1"/>
  <c r="R6" i="1"/>
  <c r="S6" i="1" s="1"/>
  <c r="R2" i="1"/>
  <c r="S2" i="1" s="1"/>
  <c r="N3" i="1"/>
  <c r="N2" i="1"/>
  <c r="K3" i="1"/>
  <c r="K4" i="1"/>
  <c r="K5" i="1"/>
  <c r="K6" i="1"/>
  <c r="H3" i="1" l="1"/>
  <c r="G4" i="1"/>
  <c r="H4" i="1" s="1"/>
  <c r="H2" i="1"/>
  <c r="G5" i="1" l="1"/>
  <c r="G6" i="1" s="1"/>
  <c r="I3" i="1"/>
  <c r="I4" i="1"/>
  <c r="I2" i="1"/>
  <c r="H5" i="1" l="1"/>
  <c r="I5" i="1" s="1"/>
  <c r="H6" i="1"/>
  <c r="G7" i="1"/>
  <c r="I6" i="1" l="1"/>
  <c r="H7" i="1"/>
  <c r="G8" i="1"/>
  <c r="H8" i="1" l="1"/>
  <c r="G9" i="1"/>
  <c r="I7" i="1"/>
  <c r="I8" i="1" l="1"/>
  <c r="G10" i="1"/>
  <c r="H9" i="1"/>
  <c r="I9" i="1" s="1"/>
  <c r="H10" i="1" l="1"/>
  <c r="G11" i="1"/>
  <c r="I10" i="1" l="1"/>
  <c r="H11" i="1"/>
  <c r="I11" i="1" s="1"/>
  <c r="G12" i="1"/>
  <c r="H12" i="1" l="1"/>
  <c r="I12" i="1" s="1"/>
  <c r="G13" i="1"/>
  <c r="G14" i="1" l="1"/>
  <c r="H13" i="1"/>
  <c r="I13" i="1" s="1"/>
  <c r="G15" i="1" l="1"/>
  <c r="H14" i="1"/>
  <c r="I14" i="1" s="1"/>
  <c r="H15" i="1" l="1"/>
  <c r="I15" i="1" s="1"/>
  <c r="G16" i="1"/>
  <c r="H16" i="1" l="1"/>
  <c r="I16" i="1" s="1"/>
  <c r="G17" i="1"/>
  <c r="H17" i="1" l="1"/>
  <c r="I17" i="1" s="1"/>
  <c r="G18" i="1"/>
  <c r="G19" i="1" l="1"/>
  <c r="H18" i="1"/>
  <c r="I18" i="1" s="1"/>
  <c r="G20" i="1" l="1"/>
  <c r="H19" i="1"/>
  <c r="I19" i="1" s="1"/>
  <c r="G21" i="1" l="1"/>
  <c r="H20" i="1"/>
  <c r="G22" i="1" l="1"/>
  <c r="H21" i="1"/>
  <c r="G23" i="1" l="1"/>
  <c r="H22" i="1"/>
  <c r="G24" i="1" l="1"/>
  <c r="H23" i="1"/>
  <c r="G25" i="1" l="1"/>
  <c r="H24" i="1"/>
  <c r="H25" i="1" l="1"/>
  <c r="G26" i="1"/>
  <c r="G27" i="1" l="1"/>
  <c r="H26" i="1"/>
  <c r="G28" i="1" l="1"/>
  <c r="H27" i="1"/>
  <c r="H28" i="1" l="1"/>
  <c r="G29" i="1"/>
  <c r="G30" i="1" l="1"/>
  <c r="H29" i="1"/>
  <c r="H30" i="1" l="1"/>
  <c r="G31" i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</calcChain>
</file>

<file path=xl/sharedStrings.xml><?xml version="1.0" encoding="utf-8"?>
<sst xmlns="http://schemas.openxmlformats.org/spreadsheetml/2006/main" count="90" uniqueCount="43">
  <si>
    <t>Salary</t>
  </si>
  <si>
    <t>Monthly Salary</t>
  </si>
  <si>
    <t>Income</t>
  </si>
  <si>
    <t>Food</t>
  </si>
  <si>
    <t>Breakfast</t>
  </si>
  <si>
    <t>Expense</t>
  </si>
  <si>
    <t>Travel</t>
  </si>
  <si>
    <t>Bus</t>
  </si>
  <si>
    <t>Shopping</t>
  </si>
  <si>
    <t>Dress</t>
  </si>
  <si>
    <t>Lunch</t>
  </si>
  <si>
    <t>Bills</t>
  </si>
  <si>
    <t>Mobile Recharge</t>
  </si>
  <si>
    <t>Auto</t>
  </si>
  <si>
    <t>Dinner</t>
  </si>
  <si>
    <t>Shoes</t>
  </si>
  <si>
    <t>Electricity</t>
  </si>
  <si>
    <t>Snacks</t>
  </si>
  <si>
    <t>Other</t>
  </si>
  <si>
    <t>Stationery</t>
  </si>
  <si>
    <t>Restaurant</t>
  </si>
  <si>
    <t>Bag</t>
  </si>
  <si>
    <t>Cab</t>
  </si>
  <si>
    <t>Internet</t>
  </si>
  <si>
    <t>Miscellaneous</t>
  </si>
  <si>
    <t>Freelance Income</t>
  </si>
  <si>
    <t>date</t>
  </si>
  <si>
    <t>Category</t>
  </si>
  <si>
    <t>Description</t>
  </si>
  <si>
    <t>amount</t>
  </si>
  <si>
    <t>type</t>
  </si>
  <si>
    <t>expense</t>
  </si>
  <si>
    <t>food</t>
  </si>
  <si>
    <t>travel</t>
  </si>
  <si>
    <t>bills</t>
  </si>
  <si>
    <t>other</t>
  </si>
  <si>
    <t>shopping</t>
  </si>
  <si>
    <t>Budget</t>
  </si>
  <si>
    <t>Actual</t>
  </si>
  <si>
    <t>Status</t>
  </si>
  <si>
    <t>Cumulative</t>
  </si>
  <si>
    <t>Column1</t>
  </si>
  <si>
    <t>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</si>
</sst>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Gill Sans MT"/>
      <family val="2"/>
      <scheme val="minor"/>
    </font>
    <font>
      <sz val="8"/>
      <name val="Gill Sans MT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/>
              <a:t>Category Wise Expense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045045045045043E-2"/>
          <c:y val="0.24403735632183909"/>
          <c:w val="0.92376992376992373"/>
          <c:h val="0.532411869852475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expense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Sheet1!$J$2:$J$6</c:f>
              <c:strCache>
                <c:ptCount val="5"/>
                <c:pt idx="0">
                  <c:v>food</c:v>
                </c:pt>
                <c:pt idx="1">
                  <c:v>travel</c:v>
                </c:pt>
                <c:pt idx="2">
                  <c:v>shopping</c:v>
                </c:pt>
                <c:pt idx="3">
                  <c:v>bills</c:v>
                </c:pt>
                <c:pt idx="4">
                  <c:v>other</c:v>
                </c:pt>
              </c:strCache>
            </c:strRef>
          </c:cat>
          <c:val>
            <c:numRef>
              <c:f>Sheet1!$K$2:$K$6</c:f>
              <c:numCache>
                <c:formatCode>General</c:formatCode>
                <c:ptCount val="5"/>
                <c:pt idx="0">
                  <c:v>1520</c:v>
                </c:pt>
                <c:pt idx="1">
                  <c:v>770</c:v>
                </c:pt>
                <c:pt idx="2">
                  <c:v>3400</c:v>
                </c:pt>
                <c:pt idx="3">
                  <c:v>1800</c:v>
                </c:pt>
                <c:pt idx="4">
                  <c:v>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0-4DCF-A0B5-892B86BE5B6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921695760"/>
        <c:axId val="792174448"/>
      </c:barChart>
      <c:catAx>
        <c:axId val="92169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174448"/>
        <c:crosses val="autoZero"/>
        <c:auto val="1"/>
        <c:lblAlgn val="ctr"/>
        <c:lblOffset val="100"/>
        <c:noMultiLvlLbl val="0"/>
      </c:catAx>
      <c:valAx>
        <c:axId val="7921744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21695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</a:t>
            </a:r>
            <a:r>
              <a:rPr lang="en-US" baseline="0"/>
              <a:t> vs expense</a:t>
            </a:r>
          </a:p>
        </c:rich>
      </c:tx>
      <c:layout>
        <c:manualLayout>
          <c:xMode val="edge"/>
          <c:yMode val="edge"/>
          <c:x val="0.28221815582911297"/>
          <c:y val="4.9122807017543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57877096348871"/>
          <c:y val="0.21345047658516367"/>
          <c:w val="0.84685213025120443"/>
          <c:h val="0.634436747319153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Sheet1!$M$2:$M$3</c:f>
              <c:strCache>
                <c:ptCount val="2"/>
                <c:pt idx="0">
                  <c:v>Income</c:v>
                </c:pt>
                <c:pt idx="1">
                  <c:v>Expense</c:v>
                </c:pt>
              </c:strCache>
            </c:strRef>
          </c:cat>
          <c:val>
            <c:numRef>
              <c:f>Sheet1!$N$2:$N$3</c:f>
              <c:numCache>
                <c:formatCode>General</c:formatCode>
                <c:ptCount val="2"/>
                <c:pt idx="0">
                  <c:v>30000</c:v>
                </c:pt>
                <c:pt idx="1">
                  <c:v>8040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5A-4E58-AA33-D58A519C1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5980672"/>
        <c:axId val="792171088"/>
      </c:barChart>
      <c:catAx>
        <c:axId val="103598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171088"/>
        <c:crosses val="autoZero"/>
        <c:auto val="1"/>
        <c:lblAlgn val="ctr"/>
        <c:lblOffset val="100"/>
        <c:noMultiLvlLbl val="0"/>
      </c:catAx>
      <c:valAx>
        <c:axId val="79217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980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none" baseline="0"/>
              <a:t>Daily Expense Trend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expense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Sheet1!$G$2:$G$19</c:f>
              <c:numCache>
                <c:formatCode>m/d/yyyy</c:formatCode>
                <c:ptCount val="18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</c:numCache>
            </c:numRef>
          </c:cat>
          <c:val>
            <c:numRef>
              <c:f>Sheet1!$H$2:$H$19</c:f>
              <c:numCache>
                <c:formatCode>General</c:formatCode>
                <c:ptCount val="18"/>
                <c:pt idx="0">
                  <c:v>150</c:v>
                </c:pt>
                <c:pt idx="1">
                  <c:v>100</c:v>
                </c:pt>
                <c:pt idx="2">
                  <c:v>1200</c:v>
                </c:pt>
                <c:pt idx="3">
                  <c:v>250</c:v>
                </c:pt>
                <c:pt idx="4">
                  <c:v>400</c:v>
                </c:pt>
                <c:pt idx="5">
                  <c:v>200</c:v>
                </c:pt>
                <c:pt idx="6">
                  <c:v>300</c:v>
                </c:pt>
                <c:pt idx="7">
                  <c:v>1500</c:v>
                </c:pt>
                <c:pt idx="8">
                  <c:v>800</c:v>
                </c:pt>
                <c:pt idx="9">
                  <c:v>100</c:v>
                </c:pt>
                <c:pt idx="10">
                  <c:v>120</c:v>
                </c:pt>
                <c:pt idx="11">
                  <c:v>250</c:v>
                </c:pt>
                <c:pt idx="12">
                  <c:v>500</c:v>
                </c:pt>
                <c:pt idx="13">
                  <c:v>700</c:v>
                </c:pt>
                <c:pt idx="14">
                  <c:v>350</c:v>
                </c:pt>
                <c:pt idx="15">
                  <c:v>600</c:v>
                </c:pt>
                <c:pt idx="16">
                  <c:v>220</c:v>
                </c:pt>
                <c:pt idx="17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1E-4D4F-981A-A51AF83F148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44943856"/>
        <c:axId val="1038196080"/>
      </c:lineChart>
      <c:dateAx>
        <c:axId val="10449438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196080"/>
        <c:crosses val="autoZero"/>
        <c:auto val="1"/>
        <c:lblOffset val="100"/>
        <c:baseTimeUnit val="days"/>
      </c:dateAx>
      <c:valAx>
        <c:axId val="10381960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94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Cumulative Expense (Month-to-date)</a:t>
            </a:r>
            <a:endParaRPr lang="en-IN"/>
          </a:p>
        </c:rich>
      </c:tx>
      <c:layout>
        <c:manualLayout>
          <c:xMode val="edge"/>
          <c:yMode val="edge"/>
          <c:x val="0.15239419699403245"/>
          <c:y val="5.6858564321250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date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Sheet1!$G$2:$G$19</c:f>
              <c:numCache>
                <c:formatCode>m/d/yyyy</c:formatCode>
                <c:ptCount val="18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26-42C8-94F1-6E84F9416072}"/>
            </c:ext>
          </c:extLst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Cumulative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Sheet1!$I$2:$I$61</c:f>
              <c:numCache>
                <c:formatCode>General</c:formatCode>
                <c:ptCount val="60"/>
                <c:pt idx="0">
                  <c:v>150</c:v>
                </c:pt>
                <c:pt idx="1">
                  <c:v>250</c:v>
                </c:pt>
                <c:pt idx="2">
                  <c:v>1450</c:v>
                </c:pt>
                <c:pt idx="3">
                  <c:v>1700</c:v>
                </c:pt>
                <c:pt idx="4">
                  <c:v>2100</c:v>
                </c:pt>
                <c:pt idx="5">
                  <c:v>2300</c:v>
                </c:pt>
                <c:pt idx="6">
                  <c:v>2600</c:v>
                </c:pt>
                <c:pt idx="7">
                  <c:v>4100</c:v>
                </c:pt>
                <c:pt idx="8">
                  <c:v>4900</c:v>
                </c:pt>
                <c:pt idx="9">
                  <c:v>5000</c:v>
                </c:pt>
                <c:pt idx="10">
                  <c:v>5120</c:v>
                </c:pt>
                <c:pt idx="11">
                  <c:v>5370</c:v>
                </c:pt>
                <c:pt idx="12">
                  <c:v>5870</c:v>
                </c:pt>
                <c:pt idx="13">
                  <c:v>6570</c:v>
                </c:pt>
                <c:pt idx="14">
                  <c:v>6920</c:v>
                </c:pt>
                <c:pt idx="15">
                  <c:v>7520</c:v>
                </c:pt>
                <c:pt idx="16">
                  <c:v>7740</c:v>
                </c:pt>
                <c:pt idx="17">
                  <c:v>8040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26-42C8-94F1-6E84F9416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2843360"/>
        <c:axId val="1038158640"/>
      </c:lineChart>
      <c:catAx>
        <c:axId val="1012843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158640"/>
        <c:crosses val="autoZero"/>
        <c:auto val="1"/>
        <c:lblAlgn val="ctr"/>
        <c:lblOffset val="100"/>
        <c:noMultiLvlLbl val="0"/>
      </c:catAx>
      <c:valAx>
        <c:axId val="103815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84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Expense Share by Category (%)</a:t>
            </a:r>
            <a:endParaRPr lang="en-US"/>
          </a:p>
        </c:rich>
      </c:tx>
      <c:layout>
        <c:manualLayout>
          <c:xMode val="edge"/>
          <c:yMode val="edge"/>
          <c:x val="0.10412457912457912"/>
          <c:y val="1.60256410256410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Sheet1!$K$1</c:f>
              <c:strCache>
                <c:ptCount val="1"/>
                <c:pt idx="0">
                  <c:v>expense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FDB-4BF9-8C28-47EB7DDF10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DB-4BF9-8C28-47EB7DDF10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FDB-4BF9-8C28-47EB7DDF10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FDB-4BF9-8C28-47EB7DDF109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FDB-4BF9-8C28-47EB7DDF1099}"/>
              </c:ext>
            </c:extLst>
          </c:dPt>
          <c:cat>
            <c:strRef>
              <c:f>Sheet1!$J$2:$J$6</c:f>
              <c:strCache>
                <c:ptCount val="5"/>
                <c:pt idx="0">
                  <c:v>food</c:v>
                </c:pt>
                <c:pt idx="1">
                  <c:v>travel</c:v>
                </c:pt>
                <c:pt idx="2">
                  <c:v>shopping</c:v>
                </c:pt>
                <c:pt idx="3">
                  <c:v>bills</c:v>
                </c:pt>
                <c:pt idx="4">
                  <c:v>other</c:v>
                </c:pt>
              </c:strCache>
            </c:strRef>
          </c:cat>
          <c:val>
            <c:numRef>
              <c:f>Sheet1!$K$2:$K$6</c:f>
              <c:numCache>
                <c:formatCode>General</c:formatCode>
                <c:ptCount val="5"/>
                <c:pt idx="0">
                  <c:v>1520</c:v>
                </c:pt>
                <c:pt idx="1">
                  <c:v>770</c:v>
                </c:pt>
                <c:pt idx="2">
                  <c:v>3400</c:v>
                </c:pt>
                <c:pt idx="3">
                  <c:v>1800</c:v>
                </c:pt>
                <c:pt idx="4">
                  <c:v>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88-4703-A217-5A5A33E0B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Budget vs Actual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Sheet1!$Q$1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Sheet1!$P$2:$P$6</c:f>
              <c:strCache>
                <c:ptCount val="5"/>
                <c:pt idx="0">
                  <c:v>food</c:v>
                </c:pt>
                <c:pt idx="1">
                  <c:v>travel</c:v>
                </c:pt>
                <c:pt idx="2">
                  <c:v>shopping</c:v>
                </c:pt>
                <c:pt idx="3">
                  <c:v>bills</c:v>
                </c:pt>
                <c:pt idx="4">
                  <c:v>other</c:v>
                </c:pt>
              </c:strCache>
            </c:strRef>
          </c:cat>
          <c:val>
            <c:numRef>
              <c:f>Sheet1!$Q$2:$Q$6</c:f>
              <c:numCache>
                <c:formatCode>General</c:formatCode>
                <c:ptCount val="5"/>
                <c:pt idx="0">
                  <c:v>2000</c:v>
                </c:pt>
                <c:pt idx="1">
                  <c:v>1000</c:v>
                </c:pt>
                <c:pt idx="2">
                  <c:v>3000</c:v>
                </c:pt>
                <c:pt idx="3">
                  <c:v>2000</c:v>
                </c:pt>
                <c:pt idx="4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D3-4B1A-A4D9-7F4886585523}"/>
            </c:ext>
          </c:extLst>
        </c:ser>
        <c:ser>
          <c:idx val="1"/>
          <c:order val="1"/>
          <c:tx>
            <c:strRef>
              <c:f>Sheet1!$R$1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Sheet1!$P$2:$P$6</c:f>
              <c:strCache>
                <c:ptCount val="5"/>
                <c:pt idx="0">
                  <c:v>food</c:v>
                </c:pt>
                <c:pt idx="1">
                  <c:v>travel</c:v>
                </c:pt>
                <c:pt idx="2">
                  <c:v>shopping</c:v>
                </c:pt>
                <c:pt idx="3">
                  <c:v>bills</c:v>
                </c:pt>
                <c:pt idx="4">
                  <c:v>other</c:v>
                </c:pt>
              </c:strCache>
            </c:strRef>
          </c:cat>
          <c:val>
            <c:numRef>
              <c:f>Sheet1!$R$2:$R$6</c:f>
              <c:numCache>
                <c:formatCode>General</c:formatCode>
                <c:ptCount val="5"/>
                <c:pt idx="0">
                  <c:v>1520</c:v>
                </c:pt>
                <c:pt idx="1">
                  <c:v>770</c:v>
                </c:pt>
                <c:pt idx="2">
                  <c:v>3400</c:v>
                </c:pt>
                <c:pt idx="3">
                  <c:v>1800</c:v>
                </c:pt>
                <c:pt idx="4">
                  <c:v>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D3-4B1A-A4D9-7F4886585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9240912"/>
        <c:axId val="1038218160"/>
      </c:barChart>
      <c:catAx>
        <c:axId val="101924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218160"/>
        <c:crosses val="autoZero"/>
        <c:auto val="1"/>
        <c:lblAlgn val="ctr"/>
        <c:lblOffset val="100"/>
        <c:noMultiLvlLbl val="0"/>
      </c:catAx>
      <c:valAx>
        <c:axId val="103821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24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259263</xdr:colOff>
      <xdr:row>5</xdr:row>
      <xdr:rowOff>224836</xdr:rowOff>
    </xdr:from>
    <xdr:to>
      <xdr:col>26</xdr:col>
      <xdr:colOff>183064</xdr:colOff>
      <xdr:row>14</xdr:row>
      <xdr:rowOff>10558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82FF9D-F97D-6806-1E1F-38B099BEEC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6335</xdr:colOff>
      <xdr:row>4</xdr:row>
      <xdr:rowOff>227223</xdr:rowOff>
    </xdr:from>
    <xdr:to>
      <xdr:col>32</xdr:col>
      <xdr:colOff>204454</xdr:colOff>
      <xdr:row>13</xdr:row>
      <xdr:rowOff>208173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9DDB0A-F417-1C64-9425-77F424BD52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27818</xdr:colOff>
      <xdr:row>4</xdr:row>
      <xdr:rowOff>27543</xdr:rowOff>
    </xdr:from>
    <xdr:to>
      <xdr:col>38</xdr:col>
      <xdr:colOff>142118</xdr:colOff>
      <xdr:row>13</xdr:row>
      <xdr:rowOff>118983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C8312D-D3EC-3DAA-0750-F289C6E68D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532757</xdr:colOff>
      <xdr:row>14</xdr:row>
      <xdr:rowOff>202803</xdr:rowOff>
    </xdr:from>
    <xdr:to>
      <xdr:col>25</xdr:col>
      <xdr:colOff>563237</xdr:colOff>
      <xdr:row>23</xdr:row>
      <xdr:rowOff>111363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E73DD7-B06B-2BFB-82ED-7DB069884D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519262</xdr:colOff>
      <xdr:row>15</xdr:row>
      <xdr:rowOff>21115</xdr:rowOff>
    </xdr:from>
    <xdr:to>
      <xdr:col>31</xdr:col>
      <xdr:colOff>488781</xdr:colOff>
      <xdr:row>23</xdr:row>
      <xdr:rowOff>112555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A5CD830-8021-A21A-9DDF-2B406A787C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414234</xdr:colOff>
      <xdr:row>14</xdr:row>
      <xdr:rowOff>71885</xdr:rowOff>
    </xdr:from>
    <xdr:to>
      <xdr:col>38</xdr:col>
      <xdr:colOff>505675</xdr:colOff>
      <xdr:row>23</xdr:row>
      <xdr:rowOff>94745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1291135-4DF6-66CF-E34A-0EACA2B24A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601980</xdr:colOff>
      <xdr:row>12</xdr:row>
      <xdr:rowOff>53340</xdr:rowOff>
    </xdr:from>
    <xdr:to>
      <xdr:col>17</xdr:col>
      <xdr:colOff>137160</xdr:colOff>
      <xdr:row>12</xdr:row>
      <xdr:rowOff>106680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656370BF-B8E0-FB94-29BF-F106B50B7A06}"/>
            </a:ext>
          </a:extLst>
        </xdr:cNvPr>
        <xdr:cNvSpPr txBox="1">
          <a:spLocks noChangeArrowheads="1"/>
        </xdr:cNvSpPr>
      </xdr:nvSpPr>
      <xdr:spPr bwMode="auto">
        <a:xfrm flipH="1">
          <a:off x="10020300" y="2659380"/>
          <a:ext cx="754380" cy="533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endParaRPr lang="en-IN" sz="1100" b="0" i="0" u="none" strike="noStrike" baseline="0">
            <a:solidFill>
              <a:srgbClr val="000000"/>
            </a:solidFill>
            <a:latin typeface="Aptos Narrow"/>
          </a:endParaRPr>
        </a:p>
      </xdr:txBody>
    </xdr:sp>
    <xdr:clientData/>
  </xdr:twoCellAnchor>
  <xdr:twoCellAnchor>
    <xdr:from>
      <xdr:col>22</xdr:col>
      <xdr:colOff>225569</xdr:colOff>
      <xdr:row>2</xdr:row>
      <xdr:rowOff>195366</xdr:rowOff>
    </xdr:from>
    <xdr:to>
      <xdr:col>24</xdr:col>
      <xdr:colOff>458117</xdr:colOff>
      <xdr:row>4</xdr:row>
      <xdr:rowOff>168191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28075F5D-BC02-344B-3891-EC1824ACB76C}"/>
            </a:ext>
          </a:extLst>
        </xdr:cNvPr>
        <xdr:cNvSpPr/>
      </xdr:nvSpPr>
      <xdr:spPr>
        <a:xfrm>
          <a:off x="14584220" y="792113"/>
          <a:ext cx="1444403" cy="431861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/>
            <a:t>Total</a:t>
          </a:r>
          <a:r>
            <a:rPr lang="en-IN" sz="1100" baseline="0"/>
            <a:t> Income </a:t>
          </a:r>
          <a:r>
            <a:rPr lang="en-IN"/>
            <a:t>30000</a:t>
          </a:r>
        </a:p>
        <a:p>
          <a:pPr algn="l"/>
          <a:endParaRPr lang="en-IN" sz="1100"/>
        </a:p>
      </xdr:txBody>
    </xdr:sp>
    <xdr:clientData/>
  </xdr:twoCellAnchor>
  <xdr:oneCellAnchor>
    <xdr:from>
      <xdr:col>24</xdr:col>
      <xdr:colOff>281940</xdr:colOff>
      <xdr:row>1</xdr:row>
      <xdr:rowOff>53340</xdr:rowOff>
    </xdr:from>
    <xdr:ext cx="1028700" cy="4169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8CBC194-3B7B-9780-0D50-D6BC5BC67543}"/>
            </a:ext>
          </a:extLst>
        </xdr:cNvPr>
        <xdr:cNvSpPr txBox="1"/>
      </xdr:nvSpPr>
      <xdr:spPr>
        <a:xfrm>
          <a:off x="15186660" y="358140"/>
          <a:ext cx="1028700" cy="4169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26</xdr:col>
      <xdr:colOff>509348</xdr:colOff>
      <xdr:row>2</xdr:row>
      <xdr:rowOff>157265</xdr:rowOff>
    </xdr:from>
    <xdr:to>
      <xdr:col>29</xdr:col>
      <xdr:colOff>63439</xdr:colOff>
      <xdr:row>4</xdr:row>
      <xdr:rowOff>121552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C97F8B55-5D72-F2D7-9CFF-36F762855850}"/>
            </a:ext>
          </a:extLst>
        </xdr:cNvPr>
        <xdr:cNvSpPr/>
      </xdr:nvSpPr>
      <xdr:spPr>
        <a:xfrm>
          <a:off x="17291709" y="754012"/>
          <a:ext cx="1371875" cy="423323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Total</a:t>
          </a:r>
          <a:r>
            <a:rPr lang="en-IN" sz="1100" baseline="0"/>
            <a:t> Expense 8040</a:t>
          </a:r>
          <a:endParaRPr lang="en-IN" sz="1100"/>
        </a:p>
      </xdr:txBody>
    </xdr:sp>
    <xdr:clientData/>
  </xdr:twoCellAnchor>
  <xdr:twoCellAnchor>
    <xdr:from>
      <xdr:col>16</xdr:col>
      <xdr:colOff>1</xdr:colOff>
      <xdr:row>12</xdr:row>
      <xdr:rowOff>45902</xdr:rowOff>
    </xdr:from>
    <xdr:to>
      <xdr:col>17</xdr:col>
      <xdr:colOff>48659</xdr:colOff>
      <xdr:row>12</xdr:row>
      <xdr:rowOff>91621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DDF9455D-0456-FF85-D1D8-C1DC392DB3E8}"/>
            </a:ext>
          </a:extLst>
        </xdr:cNvPr>
        <xdr:cNvSpPr txBox="1">
          <a:spLocks noChangeArrowheads="1"/>
        </xdr:cNvSpPr>
      </xdr:nvSpPr>
      <xdr:spPr bwMode="auto">
        <a:xfrm rot="10800000" flipH="1" flipV="1">
          <a:off x="10723085" y="3167348"/>
          <a:ext cx="654586" cy="4571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endParaRPr lang="en-IN" sz="1100" b="0" i="0" u="none" strike="noStrike" baseline="0">
            <a:solidFill>
              <a:srgbClr val="000000"/>
            </a:solidFill>
            <a:latin typeface="Aptos Narrow"/>
          </a:endParaRPr>
        </a:p>
      </xdr:txBody>
    </xdr:sp>
    <xdr:clientData/>
  </xdr:twoCellAnchor>
  <xdr:twoCellAnchor>
    <xdr:from>
      <xdr:col>30</xdr:col>
      <xdr:colOff>338125</xdr:colOff>
      <xdr:row>2</xdr:row>
      <xdr:rowOff>122104</xdr:rowOff>
    </xdr:from>
    <xdr:to>
      <xdr:col>32</xdr:col>
      <xdr:colOff>536244</xdr:colOff>
      <xdr:row>4</xdr:row>
      <xdr:rowOff>63531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2B4D4F44-C2D4-B562-E99A-200025B6B621}"/>
            </a:ext>
          </a:extLst>
        </xdr:cNvPr>
        <xdr:cNvSpPr/>
      </xdr:nvSpPr>
      <xdr:spPr>
        <a:xfrm>
          <a:off x="19544197" y="718851"/>
          <a:ext cx="1409975" cy="400463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/>
            <a:t>Savings</a:t>
          </a:r>
          <a:r>
            <a:rPr lang="en-IN" sz="1100" baseline="0"/>
            <a:t> </a:t>
          </a:r>
          <a:r>
            <a:rPr lang="en-IN"/>
            <a:t>21960</a:t>
          </a:r>
        </a:p>
        <a:p>
          <a:pPr algn="l"/>
          <a:endParaRPr lang="en-IN" sz="1100"/>
        </a:p>
      </xdr:txBody>
    </xdr:sp>
    <xdr:clientData/>
  </xdr:twoCellAnchor>
  <xdr:twoCellAnchor>
    <xdr:from>
      <xdr:col>21</xdr:col>
      <xdr:colOff>532483</xdr:colOff>
      <xdr:row>0</xdr:row>
      <xdr:rowOff>64264</xdr:rowOff>
    </xdr:from>
    <xdr:to>
      <xdr:col>34</xdr:col>
      <xdr:colOff>312145</xdr:colOff>
      <xdr:row>1</xdr:row>
      <xdr:rowOff>266241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DB01177E-2AF6-1B76-8BED-31CB317AC6F8}"/>
            </a:ext>
          </a:extLst>
        </xdr:cNvPr>
        <xdr:cNvSpPr/>
      </xdr:nvSpPr>
      <xdr:spPr>
        <a:xfrm>
          <a:off x="14285206" y="64264"/>
          <a:ext cx="7656722" cy="504941"/>
        </a:xfrm>
        <a:prstGeom prst="roundRect">
          <a:avLst>
            <a:gd name="adj" fmla="val 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personal</a:t>
          </a:r>
          <a:r>
            <a:rPr lang="en-IN" sz="20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expense tracker </a:t>
          </a:r>
          <a:endParaRPr lang="en-IN" sz="20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DCEC3C-D7C6-42B7-9A0A-5BBD0C8F9DDE}" name="Table1" displayName="Table1" ref="A1:E1048576" totalsRowShown="0">
  <autoFilter ref="A1:E1048576" xr:uid="{96DCEC3C-D7C6-42B7-9A0A-5BBD0C8F9DDE}"/>
  <tableColumns count="5">
    <tableColumn id="1" xr3:uid="{765A22D3-E56D-494B-8654-F88F0EB663A8}" name="date"/>
    <tableColumn id="2" xr3:uid="{505F4979-8AAD-41CD-A826-4767EAC77401}" name="Category"/>
    <tableColumn id="3" xr3:uid="{41B03288-2112-4DC0-B291-3D9D6575C657}" name="Description"/>
    <tableColumn id="4" xr3:uid="{DDFE595C-803F-417C-BB7F-C0688D109342}" name="amount"/>
    <tableColumn id="5" xr3:uid="{54914E11-0BFD-4C35-87AF-BE67F6C7E14B}" name="type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2836AA-DEB6-409B-BB02-1F6593F6EC05}" name="Table2" displayName="Table2" ref="F1:F1048572" totalsRowShown="0">
  <autoFilter ref="F1:F1048572" xr:uid="{A52836AA-DEB6-409B-BB02-1F6593F6EC05}"/>
  <tableColumns count="1">
    <tableColumn id="1" xr3:uid="{BA2A9609-59D0-4030-8413-EADBEB032B36}" name="Column1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Gallery">
  <a:themeElements>
    <a:clrScheme name="Gallery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Gallery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lery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BE759-8784-4CD7-A99E-9D3B3929A27A}">
  <dimension ref="A1:S61"/>
  <sheetViews>
    <sheetView tabSelected="1" topLeftCell="J1" zoomScale="83" workbookViewId="0">
      <selection activeCell="Q18" sqref="Q18"/>
    </sheetView>
  </sheetViews>
  <sheetFormatPr defaultRowHeight="18"/>
  <cols>
    <col min="1" max="1" width="10.33203125" customWidth="1"/>
    <col min="2" max="2" width="11.6640625" customWidth="1"/>
    <col min="3" max="3" width="13.88671875" customWidth="1"/>
    <col min="4" max="4" width="10.33203125" customWidth="1"/>
    <col min="6" max="6" width="11.5546875" customWidth="1"/>
    <col min="7" max="7" width="10.33203125" customWidth="1"/>
  </cols>
  <sheetData>
    <row r="1" spans="1:19" ht="24" customHeight="1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41</v>
      </c>
      <c r="G1" t="s">
        <v>26</v>
      </c>
      <c r="H1" t="s">
        <v>31</v>
      </c>
      <c r="I1" s="4" t="s">
        <v>40</v>
      </c>
      <c r="J1" t="s">
        <v>27</v>
      </c>
      <c r="K1" t="s">
        <v>31</v>
      </c>
      <c r="L1" t="s">
        <v>42</v>
      </c>
      <c r="M1" t="s">
        <v>30</v>
      </c>
      <c r="N1" t="s">
        <v>29</v>
      </c>
      <c r="P1" s="4" t="s">
        <v>27</v>
      </c>
      <c r="Q1" s="4" t="s">
        <v>37</v>
      </c>
      <c r="R1" s="4" t="s">
        <v>38</v>
      </c>
      <c r="S1" s="4" t="s">
        <v>39</v>
      </c>
    </row>
    <row r="2" spans="1:19" ht="22.8" customHeight="1">
      <c r="A2" s="2">
        <v>46266</v>
      </c>
      <c r="B2" s="3" t="s">
        <v>0</v>
      </c>
      <c r="C2" s="3" t="s">
        <v>1</v>
      </c>
      <c r="D2" s="3">
        <v>25000</v>
      </c>
      <c r="E2" s="3" t="s">
        <v>2</v>
      </c>
      <c r="G2" s="2">
        <f>DATE(2026,9,1)</f>
        <v>46266</v>
      </c>
      <c r="H2">
        <f>SUMIFS(D2:D21,A2:A21,G2,E2:E21,"expense")</f>
        <v>150</v>
      </c>
      <c r="I2">
        <f>SUM($H$2:H2)</f>
        <v>150</v>
      </c>
      <c r="J2" t="s">
        <v>32</v>
      </c>
      <c r="K2">
        <f>SUMIFS($D$2:$D$100,$B$2:$B$100,J2,$E$2:$E$100,"Expense")</f>
        <v>1520</v>
      </c>
      <c r="L2">
        <f>SUBTOTAL(103,D2)</f>
        <v>1</v>
      </c>
      <c r="M2" t="s">
        <v>2</v>
      </c>
      <c r="N2">
        <f>SUMIFS($D$2:$D$100,$E$2:$E$100,M2)</f>
        <v>30000</v>
      </c>
      <c r="P2" t="s">
        <v>32</v>
      </c>
      <c r="Q2">
        <v>2000</v>
      </c>
      <c r="R2">
        <f>SUMIFS($D$2:$D$100,$B$2:$B$100,TRIM(P2),$E$2:$E$100,"Expense")</f>
        <v>1520</v>
      </c>
      <c r="S2" t="str">
        <f>IF(R2&gt;Q2,"Over Budget","Within Budget")</f>
        <v>Within Budget</v>
      </c>
    </row>
    <row r="3" spans="1:19">
      <c r="A3" s="2">
        <v>46266</v>
      </c>
      <c r="B3" s="3" t="s">
        <v>3</v>
      </c>
      <c r="C3" s="3" t="s">
        <v>4</v>
      </c>
      <c r="D3" s="3">
        <v>150</v>
      </c>
      <c r="E3" s="3" t="s">
        <v>5</v>
      </c>
      <c r="G3" s="1">
        <f>G2+1</f>
        <v>46267</v>
      </c>
      <c r="H3">
        <f t="shared" ref="H3:H30" si="0">SUMIFS(D3:D22,A3:A22,G3,E3:E22,"expense")</f>
        <v>100</v>
      </c>
      <c r="I3">
        <f>SUM($H$2:H3)</f>
        <v>250</v>
      </c>
      <c r="J3" t="s">
        <v>33</v>
      </c>
      <c r="K3">
        <f t="shared" ref="K3:K6" si="1">SUMIFS($D$2:$D$100,$B$2:$B$100,J3,$E$2:$E$100,"Expense")</f>
        <v>770</v>
      </c>
      <c r="M3" t="s">
        <v>5</v>
      </c>
      <c r="N3">
        <f>SUMIFS($D$2:$D$100,$E$2:$E$100,M3)</f>
        <v>8040</v>
      </c>
      <c r="P3" t="s">
        <v>33</v>
      </c>
      <c r="Q3">
        <v>1000</v>
      </c>
      <c r="R3">
        <f t="shared" ref="R3:R6" si="2">SUMIFS($D$2:$D$100,$B$2:$B$100,TRIM(P3),$E$2:$E$100,"Expense")</f>
        <v>770</v>
      </c>
      <c r="S3" t="str">
        <f t="shared" ref="S3:S6" si="3">IF(R3&gt;Q3,"Over Budget","Within Budget")</f>
        <v>Within Budget</v>
      </c>
    </row>
    <row r="4" spans="1:19">
      <c r="A4" s="2">
        <v>46267</v>
      </c>
      <c r="B4" s="3" t="s">
        <v>6</v>
      </c>
      <c r="C4" s="3" t="s">
        <v>7</v>
      </c>
      <c r="D4" s="3">
        <v>100</v>
      </c>
      <c r="E4" s="3" t="s">
        <v>5</v>
      </c>
      <c r="F4" t="str">
        <f t="shared" ref="F4:F18" si="4">TEXT(A7,"mmm")</f>
        <v>Sep</v>
      </c>
      <c r="G4" s="1">
        <f t="shared" ref="G4:G61" si="5">G3+1</f>
        <v>46268</v>
      </c>
      <c r="H4">
        <f t="shared" si="0"/>
        <v>1200</v>
      </c>
      <c r="I4">
        <f>SUM($H$2:H4)</f>
        <v>1450</v>
      </c>
      <c r="J4" t="s">
        <v>36</v>
      </c>
      <c r="K4">
        <f t="shared" si="1"/>
        <v>3400</v>
      </c>
      <c r="P4" t="s">
        <v>36</v>
      </c>
      <c r="Q4">
        <v>3000</v>
      </c>
      <c r="R4">
        <f t="shared" si="2"/>
        <v>3400</v>
      </c>
      <c r="S4" t="str">
        <f t="shared" si="3"/>
        <v>Over Budget</v>
      </c>
    </row>
    <row r="5" spans="1:19">
      <c r="A5" s="2">
        <v>46268</v>
      </c>
      <c r="B5" s="3" t="s">
        <v>8</v>
      </c>
      <c r="C5" s="3" t="s">
        <v>9</v>
      </c>
      <c r="D5" s="3">
        <v>1200</v>
      </c>
      <c r="E5" s="3" t="s">
        <v>5</v>
      </c>
      <c r="F5" t="str">
        <f t="shared" si="4"/>
        <v>Sep</v>
      </c>
      <c r="G5" s="1">
        <f t="shared" si="5"/>
        <v>46269</v>
      </c>
      <c r="H5">
        <f t="shared" si="0"/>
        <v>250</v>
      </c>
      <c r="I5">
        <f>SUM($H$2:H5)</f>
        <v>1700</v>
      </c>
      <c r="J5" t="s">
        <v>34</v>
      </c>
      <c r="K5">
        <f t="shared" si="1"/>
        <v>1800</v>
      </c>
      <c r="P5" t="s">
        <v>34</v>
      </c>
      <c r="Q5">
        <v>2000</v>
      </c>
      <c r="R5">
        <f t="shared" si="2"/>
        <v>1800</v>
      </c>
      <c r="S5" t="str">
        <f t="shared" si="3"/>
        <v>Within Budget</v>
      </c>
    </row>
    <row r="6" spans="1:19">
      <c r="A6" s="2">
        <v>46269</v>
      </c>
      <c r="B6" s="3" t="s">
        <v>3</v>
      </c>
      <c r="C6" s="3" t="s">
        <v>10</v>
      </c>
      <c r="D6" s="3">
        <v>250</v>
      </c>
      <c r="E6" s="3" t="s">
        <v>5</v>
      </c>
      <c r="F6" t="str">
        <f t="shared" si="4"/>
        <v>Sep</v>
      </c>
      <c r="G6" s="1">
        <f t="shared" si="5"/>
        <v>46270</v>
      </c>
      <c r="H6">
        <f t="shared" si="0"/>
        <v>400</v>
      </c>
      <c r="I6">
        <f>SUM($H$2:H6)</f>
        <v>2100</v>
      </c>
      <c r="J6" t="s">
        <v>35</v>
      </c>
      <c r="K6">
        <f t="shared" si="1"/>
        <v>550</v>
      </c>
      <c r="P6" t="s">
        <v>35</v>
      </c>
      <c r="Q6">
        <v>500</v>
      </c>
      <c r="R6">
        <f t="shared" si="2"/>
        <v>550</v>
      </c>
      <c r="S6" t="str">
        <f t="shared" si="3"/>
        <v>Over Budget</v>
      </c>
    </row>
    <row r="7" spans="1:19" ht="36">
      <c r="A7" s="2">
        <v>46270</v>
      </c>
      <c r="B7" s="3" t="s">
        <v>11</v>
      </c>
      <c r="C7" s="3" t="s">
        <v>12</v>
      </c>
      <c r="D7" s="3">
        <v>400</v>
      </c>
      <c r="E7" s="3" t="s">
        <v>5</v>
      </c>
      <c r="F7" t="str">
        <f t="shared" si="4"/>
        <v>Sep</v>
      </c>
      <c r="G7" s="1">
        <f t="shared" si="5"/>
        <v>46271</v>
      </c>
      <c r="H7">
        <f t="shared" si="0"/>
        <v>200</v>
      </c>
      <c r="I7">
        <f>SUM($H$2:H7)</f>
        <v>2300</v>
      </c>
    </row>
    <row r="8" spans="1:19">
      <c r="A8" s="2">
        <v>46271</v>
      </c>
      <c r="B8" s="3" t="s">
        <v>6</v>
      </c>
      <c r="C8" s="3" t="s">
        <v>13</v>
      </c>
      <c r="D8" s="3">
        <v>200</v>
      </c>
      <c r="E8" s="3" t="s">
        <v>5</v>
      </c>
      <c r="F8" t="str">
        <f t="shared" si="4"/>
        <v>Sep</v>
      </c>
      <c r="G8" s="1">
        <f t="shared" si="5"/>
        <v>46272</v>
      </c>
      <c r="H8">
        <f t="shared" si="0"/>
        <v>300</v>
      </c>
      <c r="I8">
        <f>SUM($H$2:H8)</f>
        <v>2600</v>
      </c>
    </row>
    <row r="9" spans="1:19">
      <c r="A9" s="2">
        <v>46272</v>
      </c>
      <c r="B9" s="3" t="s">
        <v>3</v>
      </c>
      <c r="C9" s="3" t="s">
        <v>14</v>
      </c>
      <c r="D9" s="3">
        <v>300</v>
      </c>
      <c r="E9" s="3" t="s">
        <v>5</v>
      </c>
      <c r="F9" t="str">
        <f t="shared" si="4"/>
        <v>Sep</v>
      </c>
      <c r="G9" s="1">
        <f t="shared" si="5"/>
        <v>46273</v>
      </c>
      <c r="H9">
        <f t="shared" si="0"/>
        <v>1500</v>
      </c>
      <c r="I9">
        <f>SUM($H$2:H9)</f>
        <v>4100</v>
      </c>
    </row>
    <row r="10" spans="1:19">
      <c r="A10" s="2">
        <v>46273</v>
      </c>
      <c r="B10" s="3" t="s">
        <v>8</v>
      </c>
      <c r="C10" s="3" t="s">
        <v>15</v>
      </c>
      <c r="D10" s="3">
        <v>1500</v>
      </c>
      <c r="E10" s="3" t="s">
        <v>5</v>
      </c>
      <c r="F10" t="str">
        <f t="shared" si="4"/>
        <v>Sep</v>
      </c>
      <c r="G10" s="1">
        <f t="shared" si="5"/>
        <v>46274</v>
      </c>
      <c r="H10">
        <f t="shared" si="0"/>
        <v>800</v>
      </c>
      <c r="I10">
        <f>SUM($H$2:H10)</f>
        <v>4900</v>
      </c>
    </row>
    <row r="11" spans="1:19">
      <c r="A11" s="2">
        <v>46274</v>
      </c>
      <c r="B11" s="3" t="s">
        <v>11</v>
      </c>
      <c r="C11" s="3" t="s">
        <v>16</v>
      </c>
      <c r="D11" s="3">
        <v>800</v>
      </c>
      <c r="E11" s="3" t="s">
        <v>5</v>
      </c>
      <c r="F11" t="str">
        <f t="shared" si="4"/>
        <v>Sep</v>
      </c>
      <c r="G11" s="1">
        <f t="shared" si="5"/>
        <v>46275</v>
      </c>
      <c r="H11">
        <f t="shared" si="0"/>
        <v>100</v>
      </c>
      <c r="I11">
        <f>SUM($H$2:H11)</f>
        <v>5000</v>
      </c>
    </row>
    <row r="12" spans="1:19">
      <c r="A12" s="2">
        <v>46275</v>
      </c>
      <c r="B12" s="3" t="s">
        <v>3</v>
      </c>
      <c r="C12" s="3" t="s">
        <v>17</v>
      </c>
      <c r="D12" s="3">
        <v>100</v>
      </c>
      <c r="E12" s="3" t="s">
        <v>5</v>
      </c>
      <c r="F12" t="str">
        <f t="shared" si="4"/>
        <v>Sep</v>
      </c>
      <c r="G12" s="1">
        <f t="shared" si="5"/>
        <v>46276</v>
      </c>
      <c r="H12">
        <f t="shared" si="0"/>
        <v>120</v>
      </c>
      <c r="I12">
        <f>SUM($H$2:H12)</f>
        <v>5120</v>
      </c>
    </row>
    <row r="13" spans="1:19">
      <c r="A13" s="2">
        <v>46276</v>
      </c>
      <c r="B13" s="3" t="s">
        <v>6</v>
      </c>
      <c r="C13" s="3" t="s">
        <v>7</v>
      </c>
      <c r="D13" s="3">
        <v>120</v>
      </c>
      <c r="E13" s="3" t="s">
        <v>5</v>
      </c>
      <c r="F13" t="str">
        <f t="shared" si="4"/>
        <v>Sep</v>
      </c>
      <c r="G13" s="1">
        <f t="shared" si="5"/>
        <v>46277</v>
      </c>
      <c r="H13">
        <f t="shared" si="0"/>
        <v>250</v>
      </c>
      <c r="I13">
        <f>SUM($H$2:H13)</f>
        <v>5370</v>
      </c>
    </row>
    <row r="14" spans="1:19">
      <c r="A14" s="2">
        <v>46277</v>
      </c>
      <c r="B14" s="3" t="s">
        <v>18</v>
      </c>
      <c r="C14" s="3" t="s">
        <v>19</v>
      </c>
      <c r="D14" s="3">
        <v>250</v>
      </c>
      <c r="E14" s="3" t="s">
        <v>5</v>
      </c>
      <c r="F14" t="str">
        <f t="shared" si="4"/>
        <v>Sep</v>
      </c>
      <c r="G14" s="1">
        <f t="shared" si="5"/>
        <v>46278</v>
      </c>
      <c r="H14">
        <f t="shared" si="0"/>
        <v>500</v>
      </c>
      <c r="I14">
        <f>SUM($H$2:H14)</f>
        <v>5870</v>
      </c>
    </row>
    <row r="15" spans="1:19">
      <c r="A15" s="2">
        <v>46278</v>
      </c>
      <c r="B15" s="3" t="s">
        <v>3</v>
      </c>
      <c r="C15" s="3" t="s">
        <v>20</v>
      </c>
      <c r="D15" s="3">
        <v>500</v>
      </c>
      <c r="E15" s="3" t="s">
        <v>5</v>
      </c>
      <c r="F15" t="str">
        <f t="shared" si="4"/>
        <v>Sep</v>
      </c>
      <c r="G15" s="1">
        <f t="shared" si="5"/>
        <v>46279</v>
      </c>
      <c r="H15">
        <f t="shared" si="0"/>
        <v>700</v>
      </c>
      <c r="I15">
        <f>SUM($H$2:H15)</f>
        <v>6570</v>
      </c>
    </row>
    <row r="16" spans="1:19">
      <c r="A16" s="2">
        <v>46279</v>
      </c>
      <c r="B16" s="3" t="s">
        <v>8</v>
      </c>
      <c r="C16" s="3" t="s">
        <v>21</v>
      </c>
      <c r="D16" s="3">
        <v>700</v>
      </c>
      <c r="E16" s="3" t="s">
        <v>5</v>
      </c>
      <c r="F16" t="str">
        <f t="shared" si="4"/>
        <v>Sep</v>
      </c>
      <c r="G16" s="1">
        <f t="shared" si="5"/>
        <v>46280</v>
      </c>
      <c r="H16">
        <f t="shared" si="0"/>
        <v>350</v>
      </c>
      <c r="I16">
        <f>SUM($H$2:H16)</f>
        <v>6920</v>
      </c>
    </row>
    <row r="17" spans="1:9">
      <c r="A17" s="2">
        <v>46280</v>
      </c>
      <c r="B17" s="3" t="s">
        <v>6</v>
      </c>
      <c r="C17" s="3" t="s">
        <v>22</v>
      </c>
      <c r="D17" s="3">
        <v>350</v>
      </c>
      <c r="E17" s="3" t="s">
        <v>5</v>
      </c>
      <c r="F17" t="str">
        <f t="shared" si="4"/>
        <v>Sep</v>
      </c>
      <c r="G17" s="1">
        <f t="shared" si="5"/>
        <v>46281</v>
      </c>
      <c r="H17">
        <f t="shared" si="0"/>
        <v>600</v>
      </c>
      <c r="I17">
        <f>SUM($H$2:H17)</f>
        <v>7520</v>
      </c>
    </row>
    <row r="18" spans="1:9">
      <c r="A18" s="2">
        <v>46281</v>
      </c>
      <c r="B18" s="3" t="s">
        <v>11</v>
      </c>
      <c r="C18" s="3" t="s">
        <v>23</v>
      </c>
      <c r="D18" s="3">
        <v>600</v>
      </c>
      <c r="E18" s="3" t="s">
        <v>5</v>
      </c>
      <c r="F18" t="str">
        <f t="shared" si="4"/>
        <v>Sep</v>
      </c>
      <c r="G18" s="1">
        <f t="shared" si="5"/>
        <v>46282</v>
      </c>
      <c r="H18">
        <f t="shared" si="0"/>
        <v>220</v>
      </c>
      <c r="I18">
        <f>SUM($H$2:H18)</f>
        <v>7740</v>
      </c>
    </row>
    <row r="19" spans="1:9">
      <c r="A19" s="2">
        <v>46282</v>
      </c>
      <c r="B19" s="3" t="s">
        <v>3</v>
      </c>
      <c r="C19" s="3" t="s">
        <v>10</v>
      </c>
      <c r="D19" s="3">
        <v>220</v>
      </c>
      <c r="E19" s="3" t="s">
        <v>5</v>
      </c>
      <c r="G19" s="1">
        <f t="shared" si="5"/>
        <v>46283</v>
      </c>
      <c r="H19">
        <f t="shared" si="0"/>
        <v>300</v>
      </c>
      <c r="I19">
        <f>SUM($H$2:H19)</f>
        <v>8040</v>
      </c>
    </row>
    <row r="20" spans="1:9">
      <c r="A20" s="2">
        <v>46283</v>
      </c>
      <c r="B20" s="3" t="s">
        <v>18</v>
      </c>
      <c r="C20" s="3" t="s">
        <v>24</v>
      </c>
      <c r="D20" s="3">
        <v>300</v>
      </c>
      <c r="E20" s="3" t="s">
        <v>5</v>
      </c>
      <c r="G20" s="1">
        <f t="shared" si="5"/>
        <v>46284</v>
      </c>
      <c r="H20">
        <f t="shared" si="0"/>
        <v>0</v>
      </c>
    </row>
    <row r="21" spans="1:9" ht="36">
      <c r="A21" s="2">
        <v>46285</v>
      </c>
      <c r="B21" s="3" t="s">
        <v>0</v>
      </c>
      <c r="C21" s="3" t="s">
        <v>25</v>
      </c>
      <c r="D21" s="3">
        <v>5000</v>
      </c>
      <c r="E21" s="3" t="s">
        <v>2</v>
      </c>
      <c r="G21" s="1">
        <f t="shared" si="5"/>
        <v>46285</v>
      </c>
      <c r="H21">
        <f t="shared" si="0"/>
        <v>0</v>
      </c>
    </row>
    <row r="22" spans="1:9">
      <c r="G22" s="1">
        <f t="shared" si="5"/>
        <v>46286</v>
      </c>
      <c r="H22">
        <f t="shared" si="0"/>
        <v>0</v>
      </c>
    </row>
    <row r="23" spans="1:9">
      <c r="G23" s="1">
        <f t="shared" si="5"/>
        <v>46287</v>
      </c>
      <c r="H23">
        <f t="shared" si="0"/>
        <v>0</v>
      </c>
    </row>
    <row r="24" spans="1:9">
      <c r="G24" s="1">
        <f t="shared" si="5"/>
        <v>46288</v>
      </c>
      <c r="H24">
        <f t="shared" si="0"/>
        <v>0</v>
      </c>
    </row>
    <row r="25" spans="1:9">
      <c r="G25" s="1">
        <f t="shared" si="5"/>
        <v>46289</v>
      </c>
      <c r="H25">
        <f t="shared" si="0"/>
        <v>0</v>
      </c>
    </row>
    <row r="26" spans="1:9">
      <c r="G26" s="1">
        <f t="shared" si="5"/>
        <v>46290</v>
      </c>
      <c r="H26">
        <f t="shared" si="0"/>
        <v>0</v>
      </c>
    </row>
    <row r="27" spans="1:9">
      <c r="G27" s="1">
        <f t="shared" si="5"/>
        <v>46291</v>
      </c>
      <c r="H27">
        <f t="shared" si="0"/>
        <v>0</v>
      </c>
    </row>
    <row r="28" spans="1:9">
      <c r="G28" s="1">
        <f t="shared" si="5"/>
        <v>46292</v>
      </c>
      <c r="H28">
        <f t="shared" si="0"/>
        <v>0</v>
      </c>
    </row>
    <row r="29" spans="1:9">
      <c r="G29" s="1">
        <f t="shared" si="5"/>
        <v>46293</v>
      </c>
      <c r="H29">
        <f t="shared" si="0"/>
        <v>0</v>
      </c>
    </row>
    <row r="30" spans="1:9">
      <c r="G30" s="1">
        <f t="shared" si="5"/>
        <v>46294</v>
      </c>
      <c r="H30">
        <f t="shared" si="0"/>
        <v>0</v>
      </c>
    </row>
    <row r="31" spans="1:9">
      <c r="G31" s="1">
        <f t="shared" si="5"/>
        <v>46295</v>
      </c>
    </row>
    <row r="32" spans="1:9">
      <c r="G32" s="1">
        <f t="shared" si="5"/>
        <v>46296</v>
      </c>
    </row>
    <row r="33" spans="7:7">
      <c r="G33" s="1">
        <f t="shared" si="5"/>
        <v>46297</v>
      </c>
    </row>
    <row r="34" spans="7:7">
      <c r="G34" s="1">
        <f t="shared" si="5"/>
        <v>46298</v>
      </c>
    </row>
    <row r="35" spans="7:7">
      <c r="G35" s="1">
        <f t="shared" si="5"/>
        <v>46299</v>
      </c>
    </row>
    <row r="36" spans="7:7">
      <c r="G36" s="1">
        <f t="shared" si="5"/>
        <v>46300</v>
      </c>
    </row>
    <row r="37" spans="7:7">
      <c r="G37" s="1">
        <f t="shared" si="5"/>
        <v>46301</v>
      </c>
    </row>
    <row r="38" spans="7:7">
      <c r="G38" s="1">
        <f t="shared" si="5"/>
        <v>46302</v>
      </c>
    </row>
    <row r="39" spans="7:7">
      <c r="G39" s="1">
        <f t="shared" si="5"/>
        <v>46303</v>
      </c>
    </row>
    <row r="40" spans="7:7">
      <c r="G40" s="1">
        <f t="shared" si="5"/>
        <v>46304</v>
      </c>
    </row>
    <row r="41" spans="7:7">
      <c r="G41" s="1">
        <f t="shared" si="5"/>
        <v>46305</v>
      </c>
    </row>
    <row r="42" spans="7:7">
      <c r="G42" s="1">
        <f t="shared" si="5"/>
        <v>46306</v>
      </c>
    </row>
    <row r="43" spans="7:7">
      <c r="G43" s="1">
        <f t="shared" si="5"/>
        <v>46307</v>
      </c>
    </row>
    <row r="44" spans="7:7">
      <c r="G44" s="1">
        <f t="shared" si="5"/>
        <v>46308</v>
      </c>
    </row>
    <row r="45" spans="7:7">
      <c r="G45" s="1">
        <f>G44+1</f>
        <v>46309</v>
      </c>
    </row>
    <row r="46" spans="7:7">
      <c r="G46" s="1">
        <f t="shared" si="5"/>
        <v>46310</v>
      </c>
    </row>
    <row r="47" spans="7:7">
      <c r="G47" s="1">
        <f t="shared" si="5"/>
        <v>46311</v>
      </c>
    </row>
    <row r="48" spans="7:7">
      <c r="G48" s="1">
        <f t="shared" si="5"/>
        <v>46312</v>
      </c>
    </row>
    <row r="49" spans="7:7">
      <c r="G49" s="1">
        <f t="shared" si="5"/>
        <v>46313</v>
      </c>
    </row>
    <row r="50" spans="7:7">
      <c r="G50" s="1">
        <f t="shared" si="5"/>
        <v>46314</v>
      </c>
    </row>
    <row r="51" spans="7:7">
      <c r="G51" s="1">
        <f t="shared" si="5"/>
        <v>46315</v>
      </c>
    </row>
    <row r="52" spans="7:7">
      <c r="G52" s="1">
        <f t="shared" si="5"/>
        <v>46316</v>
      </c>
    </row>
    <row r="53" spans="7:7">
      <c r="G53" s="1">
        <f t="shared" si="5"/>
        <v>46317</v>
      </c>
    </row>
    <row r="54" spans="7:7">
      <c r="G54" s="1">
        <f t="shared" si="5"/>
        <v>46318</v>
      </c>
    </row>
    <row r="55" spans="7:7">
      <c r="G55" s="1">
        <f t="shared" si="5"/>
        <v>46319</v>
      </c>
    </row>
    <row r="56" spans="7:7">
      <c r="G56" s="1">
        <f t="shared" si="5"/>
        <v>46320</v>
      </c>
    </row>
    <row r="57" spans="7:7">
      <c r="G57" s="1">
        <f t="shared" si="5"/>
        <v>46321</v>
      </c>
    </row>
    <row r="58" spans="7:7">
      <c r="G58" s="1">
        <f t="shared" si="5"/>
        <v>46322</v>
      </c>
    </row>
    <row r="59" spans="7:7">
      <c r="G59" s="1">
        <f t="shared" si="5"/>
        <v>46323</v>
      </c>
    </row>
    <row r="60" spans="7:7">
      <c r="G60" s="1">
        <f t="shared" si="5"/>
        <v>46324</v>
      </c>
    </row>
    <row r="61" spans="7:7">
      <c r="G61" s="1">
        <f t="shared" si="5"/>
        <v>46325</v>
      </c>
    </row>
  </sheetData>
  <phoneticPr fontId="1" type="noConversion"/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gowri mohanraj</dc:creator>
  <cp:lastModifiedBy>gowri mohanraj</cp:lastModifiedBy>
  <dcterms:created xsi:type="dcterms:W3CDTF">2026-10-01T06:04:25Z</dcterms:created>
  <dcterms:modified xsi:type="dcterms:W3CDTF">2026-10-15T14:45:33Z</dcterms:modified>
</cp:coreProperties>
</file>